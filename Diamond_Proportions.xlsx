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iamondRayTracer\"/>
    </mc:Choice>
  </mc:AlternateContent>
  <xr:revisionPtr revIDLastSave="0" documentId="13_ncr:1_{BCAA9D28-049F-4A66-BE71-C600A258C017}" xr6:coauthVersionLast="47" xr6:coauthVersionMax="47" xr10:uidLastSave="{00000000-0000-0000-0000-000000000000}"/>
  <bookViews>
    <workbookView xWindow="-108" yWindow="-108" windowWidth="23256" windowHeight="12456" xr2:uid="{1ECD17EE-4C70-4896-8AF6-708326DFBD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1" l="1"/>
  <c r="F7" i="1"/>
  <c r="F6" i="1"/>
  <c r="F5" i="1"/>
  <c r="F4" i="1"/>
  <c r="D8" i="1"/>
  <c r="D7" i="1"/>
  <c r="D6" i="1"/>
  <c r="D5" i="1"/>
  <c r="D4" i="1"/>
  <c r="C8" i="1"/>
  <c r="C7" i="1"/>
  <c r="C5" i="1"/>
  <c r="C6" i="1"/>
  <c r="C4" i="1"/>
</calcChain>
</file>

<file path=xl/sharedStrings.xml><?xml version="1.0" encoding="utf-8"?>
<sst xmlns="http://schemas.openxmlformats.org/spreadsheetml/2006/main" count="15" uniqueCount="11">
  <si>
    <t>Proportion 1</t>
  </si>
  <si>
    <t>Diameter</t>
  </si>
  <si>
    <t>Table</t>
  </si>
  <si>
    <t>Girdle Thickness</t>
  </si>
  <si>
    <t>Pavillion Height</t>
  </si>
  <si>
    <t>Crown Height</t>
  </si>
  <si>
    <t>Total</t>
  </si>
  <si>
    <t>Proportion 2</t>
  </si>
  <si>
    <t>Dimension (mm)</t>
  </si>
  <si>
    <t>Percentage %</t>
  </si>
  <si>
    <t>Proportion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</si>
</sst>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1" fontId="0" fillId="0" borderId="1" xfId="0" applyNumberFormat="1" applyBorder="1"/>
    <xf numFmtId="2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121920</xdr:colOff>
      <xdr:row>13</xdr:row>
      <xdr:rowOff>68580</xdr:rowOff>
    </xdr:from>
    <xdr:to>
      <xdr:col>15</xdr:col>
      <xdr:colOff>426720</xdr:colOff>
      <xdr:row>32</xdr:row>
      <xdr:rowOff>22860</xdr:rowOff>
    </xdr:to>
    <xdr:pic>
      <xdr:nvPicPr>
        <xdr:cNvPr id="2" name="Picture 1" descr="Anatomy of a Diamond Image - CJ007">
          <a:extLst>
            <a:ext uri="{FF2B5EF4-FFF2-40B4-BE49-F238E27FC236}">
              <a16:creationId xmlns:a16="http://schemas.microsoft.com/office/drawing/2014/main" id="{C6673777-F64F-3CBD-71C2-3CEF2207C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7080" y="2446020"/>
          <a:ext cx="4572000" cy="342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358140</xdr:colOff>
      <xdr:row>8</xdr:row>
      <xdr:rowOff>60960</xdr:rowOff>
    </xdr:from>
    <xdr:to>
      <xdr:col>6</xdr:col>
      <xdr:colOff>449580</xdr:colOff>
      <xdr:row>22</xdr:row>
      <xdr:rowOff>1897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64C356-49AB-3543-70CF-68CDD89C5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8140" y="1524000"/>
          <a:ext cx="5654040" cy="2501257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304801</xdr:colOff>
      <xdr:row>0</xdr:row>
      <xdr:rowOff>45720</xdr:rowOff>
    </xdr:from>
    <xdr:to>
      <xdr:col>16</xdr:col>
      <xdr:colOff>175261</xdr:colOff>
      <xdr:row>13</xdr:row>
      <xdr:rowOff>38070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C2D47A7-49D7-3037-4365-EEE2EC131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90361" y="45720"/>
          <a:ext cx="5356860" cy="23697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F9BF8-5CF6-4888-B086-4549489BDDE6}">
  <dimension ref="A1:G8"/>
  <sheetViews>
    <sheetView tabSelected="1" workbookViewId="0">
      <selection activeCell="H17" sqref="H17"/>
    </sheetView>
  </sheetViews>
  <sheetFormatPr defaultRowHeight="14.4" x14ac:dyDescent="0.3"/>
  <cols>
    <col min="1" max="1" width="14.109375" bestFit="1" customWidth="1"/>
    <col min="2" max="2" width="14.33203125" bestFit="1" customWidth="1"/>
    <col min="3" max="3" width="12" bestFit="1" customWidth="1"/>
    <col min="4" max="4" width="14.33203125" bestFit="1" customWidth="1"/>
    <col min="5" max="5" width="12" bestFit="1" customWidth="1"/>
    <col min="6" max="6" width="14.33203125" bestFit="1" customWidth="1"/>
    <col min="7" max="7" width="12" bestFit="1" customWidth="1"/>
  </cols>
  <sheetData>
    <row r="1" spans="1:7" x14ac:dyDescent="0.3">
      <c r="A1" s="1"/>
      <c r="B1" s="5" t="s">
        <v>0</v>
      </c>
      <c r="C1" s="5"/>
      <c r="D1" s="5" t="s">
        <v>7</v>
      </c>
      <c r="E1" s="5"/>
      <c r="F1" s="5" t="s">
        <v>10</v>
      </c>
      <c r="G1" s="5"/>
    </row>
    <row r="2" spans="1:7" x14ac:dyDescent="0.3">
      <c r="A2" s="1"/>
      <c r="B2" s="6" t="s">
        <v>8</v>
      </c>
      <c r="C2" s="6" t="s">
        <v>9</v>
      </c>
      <c r="D2" s="6" t="s">
        <v>8</v>
      </c>
      <c r="E2" s="6" t="s">
        <v>9</v>
      </c>
      <c r="F2" s="6" t="s">
        <v>8</v>
      </c>
      <c r="G2" s="6" t="s">
        <v>9</v>
      </c>
    </row>
    <row r="3" spans="1:7" x14ac:dyDescent="0.3">
      <c r="A3" s="1" t="s">
        <v>1</v>
      </c>
      <c r="B3" s="1">
        <v>2.1</v>
      </c>
      <c r="C3" s="2"/>
      <c r="D3" s="1">
        <v>2.1</v>
      </c>
      <c r="E3" s="2"/>
      <c r="F3" s="1">
        <v>2.1</v>
      </c>
      <c r="G3" s="2"/>
    </row>
    <row r="4" spans="1:7" x14ac:dyDescent="0.3">
      <c r="A4" s="1" t="s">
        <v>2</v>
      </c>
      <c r="B4" s="1">
        <v>1.1100000000000001</v>
      </c>
      <c r="C4" s="3">
        <f>B4/$B$3*100</f>
        <v>52.857142857142861</v>
      </c>
      <c r="D4" s="4">
        <f>$D$3*E4/100</f>
        <v>1.1340000000000001</v>
      </c>
      <c r="E4" s="1">
        <v>54</v>
      </c>
      <c r="F4" s="4">
        <f>$F$3*G4/100</f>
        <v>1.3020000000000003</v>
      </c>
      <c r="G4" s="1">
        <v>62</v>
      </c>
    </row>
    <row r="5" spans="1:7" x14ac:dyDescent="0.3">
      <c r="A5" s="1" t="s">
        <v>3</v>
      </c>
      <c r="B5" s="1">
        <v>0.06</v>
      </c>
      <c r="C5" s="3">
        <f>B5/$B$3*100</f>
        <v>2.8571428571428572</v>
      </c>
      <c r="D5" s="4">
        <f t="shared" ref="D5:D8" si="0">$D$3*E5/100</f>
        <v>8.4000000000000005E-2</v>
      </c>
      <c r="E5" s="1">
        <v>4</v>
      </c>
      <c r="F5" s="4">
        <f>$F$3*G5/100</f>
        <v>9.4500000000000015E-2</v>
      </c>
      <c r="G5" s="1">
        <v>4.5</v>
      </c>
    </row>
    <row r="6" spans="1:7" x14ac:dyDescent="0.3">
      <c r="A6" s="1" t="s">
        <v>4</v>
      </c>
      <c r="B6" s="1">
        <v>0.9</v>
      </c>
      <c r="C6" s="3">
        <f>B6/$B$3*100</f>
        <v>42.857142857142854</v>
      </c>
      <c r="D6" s="4">
        <f t="shared" si="0"/>
        <v>0.88200000000000001</v>
      </c>
      <c r="E6" s="1">
        <v>42</v>
      </c>
      <c r="F6" s="4">
        <f>$F$3*G6/100</f>
        <v>0.95550000000000002</v>
      </c>
      <c r="G6" s="1">
        <v>45.5</v>
      </c>
    </row>
    <row r="7" spans="1:7" x14ac:dyDescent="0.3">
      <c r="A7" s="1" t="s">
        <v>5</v>
      </c>
      <c r="B7" s="1">
        <v>0.33900000000000002</v>
      </c>
      <c r="C7" s="3">
        <f>B7/$B$3*100</f>
        <v>16.142857142857142</v>
      </c>
      <c r="D7" s="4">
        <f t="shared" si="0"/>
        <v>0.29400000000000004</v>
      </c>
      <c r="E7" s="1">
        <v>14</v>
      </c>
      <c r="F7" s="4">
        <f>$F$3*G7/100</f>
        <v>0.29400000000000004</v>
      </c>
      <c r="G7" s="1">
        <v>14</v>
      </c>
    </row>
    <row r="8" spans="1:7" x14ac:dyDescent="0.3">
      <c r="A8" s="1" t="s">
        <v>6</v>
      </c>
      <c r="B8" s="1">
        <v>1.3</v>
      </c>
      <c r="C8" s="3">
        <f>B8/$B$3*100</f>
        <v>61.904761904761905</v>
      </c>
      <c r="D8" s="4">
        <f t="shared" si="0"/>
        <v>1.26</v>
      </c>
      <c r="E8" s="1">
        <v>60</v>
      </c>
      <c r="F8" s="4">
        <f>$F$3*G8/100</f>
        <v>1.3545000000000003</v>
      </c>
      <c r="G8" s="1">
        <v>64.5</v>
      </c>
    </row>
  </sheetData>
  <mergeCells count="3">
    <mergeCell ref="B1:C1"/>
    <mergeCell ref="D1:E1"/>
    <mergeCell ref="F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Kumar Ranganathan</dc:creator>
  <cp:lastModifiedBy>Suresh Kumar Ranganathan</cp:lastModifiedBy>
  <dcterms:created xsi:type="dcterms:W3CDTF">2025-09-28T14:01:42Z</dcterms:created>
  <dcterms:modified xsi:type="dcterms:W3CDTF">2025-12-27T17:03:36Z</dcterms:modified>
</cp:coreProperties>
</file>