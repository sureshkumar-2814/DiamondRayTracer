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amondRayTracer\"/>
    </mc:Choice>
  </mc:AlternateContent>
  <xr:revisionPtr revIDLastSave="0" documentId="13_ncr:1_{70FD15D6-A5E0-466D-8F45-C92D2513848F}" xr6:coauthVersionLast="47" xr6:coauthVersionMax="47" xr10:uidLastSave="{00000000-0000-0000-0000-000000000000}"/>
  <bookViews>
    <workbookView xWindow="-108" yWindow="-108" windowWidth="23256" windowHeight="12456" xr2:uid="{1ECD17EE-4C70-4896-8AF6-708326DFBDFC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4" i="1"/>
  <c r="L7" i="1"/>
  <c r="L6" i="1"/>
  <c r="L5" i="1"/>
  <c r="L4" i="1"/>
  <c r="L8" i="1"/>
  <c r="J8" i="1"/>
  <c r="J7" i="1"/>
  <c r="J6" i="1"/>
  <c r="J5" i="1"/>
  <c r="J4" i="1"/>
  <c r="H6" i="1"/>
  <c r="H8" i="1"/>
  <c r="H7" i="1"/>
  <c r="H5" i="1"/>
  <c r="H4" i="1"/>
  <c r="C11" i="2"/>
  <c r="C10" i="2"/>
  <c r="C8" i="2"/>
  <c r="C7" i="2"/>
  <c r="C6" i="2"/>
  <c r="C5" i="2"/>
  <c r="C4" i="2"/>
  <c r="F8" i="1"/>
  <c r="F7" i="1"/>
  <c r="F6" i="1"/>
  <c r="F5" i="1"/>
  <c r="F4" i="1"/>
  <c r="D8" i="1"/>
  <c r="D7" i="1"/>
  <c r="D6" i="1"/>
  <c r="D5" i="1"/>
  <c r="D4" i="1"/>
  <c r="C8" i="1"/>
  <c r="C7" i="1"/>
  <c r="C5" i="1"/>
  <c r="C6" i="1"/>
  <c r="C4" i="1"/>
</calcChain>
</file>

<file path=xl/sharedStrings.xml><?xml version="1.0" encoding="utf-8"?>
<sst xmlns="http://schemas.openxmlformats.org/spreadsheetml/2006/main" count="56" uniqueCount="23">
  <si>
    <t>Proportion 1</t>
  </si>
  <si>
    <t>Diameter</t>
  </si>
  <si>
    <t>Table</t>
  </si>
  <si>
    <t>Girdle Thickness</t>
  </si>
  <si>
    <t>Pavillion Height</t>
  </si>
  <si>
    <t>Crown Height</t>
  </si>
  <si>
    <t>Total</t>
  </si>
  <si>
    <t>Proportion 2</t>
  </si>
  <si>
    <t>Dimension (mm)</t>
  </si>
  <si>
    <t>Percentage %</t>
  </si>
  <si>
    <t>Proportion 3</t>
  </si>
  <si>
    <t>Crown Facets Split</t>
  </si>
  <si>
    <t>50:50</t>
  </si>
  <si>
    <t>Pavillion Facets split</t>
  </si>
  <si>
    <t>80:20</t>
  </si>
  <si>
    <t>Crown Angle</t>
  </si>
  <si>
    <t>Pavillion Angle</t>
  </si>
  <si>
    <t>Crown Split</t>
  </si>
  <si>
    <t>Pavillion Split</t>
  </si>
  <si>
    <t>Proportion 4</t>
  </si>
  <si>
    <t>Proportion 5</t>
  </si>
  <si>
    <t>Proportion 6</t>
  </si>
  <si>
    <t>Proportion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</si>
</sst>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1" fontId="0" fillId="0" borderId="1" xfId="0" applyNumberFormat="1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Fill="1" applyBorder="1"/>
    <xf numFmtId="1" fontId="0" fillId="0" borderId="4" xfId="0" applyNumberFormat="1" applyFill="1" applyBorder="1"/>
    <xf numFmtId="46" fontId="0" fillId="0" borderId="0" xfId="0" quotePrefix="1" applyNumberFormat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106680</xdr:colOff>
      <xdr:row>14</xdr:row>
      <xdr:rowOff>30480</xdr:rowOff>
    </xdr:from>
    <xdr:to>
      <xdr:col>13</xdr:col>
      <xdr:colOff>68580</xdr:colOff>
      <xdr:row>32</xdr:row>
      <xdr:rowOff>167640</xdr:rowOff>
    </xdr:to>
    <xdr:pic>
      <xdr:nvPicPr>
        <xdr:cNvPr id="2" name="Picture 1" descr="Anatomy of a Diamond Image - CJ007">
          <a:extLst>
            <a:ext uri="{FF2B5EF4-FFF2-40B4-BE49-F238E27FC236}">
              <a16:creationId xmlns:a16="http://schemas.microsoft.com/office/drawing/2014/main" id="{C6673777-F64F-3CBD-71C2-3CEF2207C2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8560" y="2590800"/>
          <a:ext cx="4572000" cy="3429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480060</xdr:colOff>
      <xdr:row>20</xdr:row>
      <xdr:rowOff>7620</xdr:rowOff>
    </xdr:from>
    <xdr:to>
      <xdr:col>6</xdr:col>
      <xdr:colOff>571500</xdr:colOff>
      <xdr:row>33</xdr:row>
      <xdr:rowOff>131437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64C356-49AB-3543-70CF-68CDD89C5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" y="3665220"/>
          <a:ext cx="5654040" cy="2501257"/>
        </a:xfrm>
        <a:prstGeom prst="rect">
          <a:avLst/>
        </a:prstGeom>
      </xdr:spPr>
    </xdr:pic>
    <xdr:clientData/>
  </xdr:twoCellAnchor>
  <xdr:twoCellAnchor editAs="oneCell">
    <xdr:from>
      <xdr:col>0</xdr:col>
      <xdr:colOff>708661</xdr:colOff>
      <xdr:row>34</xdr:row>
      <xdr:rowOff>53340</xdr:rowOff>
    </xdr:from>
    <xdr:to>
      <xdr:col>6</xdr:col>
      <xdr:colOff>502921</xdr:colOff>
      <xdr:row>47</xdr:row>
      <xdr:rowOff>45690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2D47A7-49D7-3037-4365-EEE2EC131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661" y="6271260"/>
          <a:ext cx="5356860" cy="23697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9BF8-5CF6-4888-B086-4549489BDDE6}">
  <dimension ref="A1:O12"/>
  <sheetViews>
    <sheetView tabSelected="1" workbookViewId="0">
      <selection activeCell="H15" sqref="H15"/>
    </sheetView>
  </sheetViews>
  <sheetFormatPr defaultRowHeight="14.4" x14ac:dyDescent="0.3"/>
  <cols>
    <col min="1" max="1" width="14.109375" bestFit="1" customWidth="1"/>
    <col min="2" max="2" width="14.33203125" bestFit="1" customWidth="1"/>
    <col min="3" max="3" width="12" bestFit="1" customWidth="1"/>
    <col min="4" max="4" width="14.33203125" bestFit="1" customWidth="1"/>
    <col min="5" max="5" width="12" bestFit="1" customWidth="1"/>
    <col min="6" max="6" width="14.33203125" bestFit="1" customWidth="1"/>
    <col min="7" max="7" width="12" bestFit="1" customWidth="1"/>
    <col min="8" max="8" width="15.109375" bestFit="1" customWidth="1"/>
    <col min="9" max="9" width="12.33203125" bestFit="1" customWidth="1"/>
    <col min="10" max="10" width="15.109375" bestFit="1" customWidth="1"/>
    <col min="11" max="11" width="12.33203125" bestFit="1" customWidth="1"/>
    <col min="12" max="12" width="15.109375" bestFit="1" customWidth="1"/>
    <col min="13" max="13" width="12.33203125" bestFit="1" customWidth="1"/>
    <col min="14" max="14" width="15.109375" bestFit="1" customWidth="1"/>
    <col min="15" max="15" width="12.33203125" bestFit="1" customWidth="1"/>
  </cols>
  <sheetData>
    <row r="1" spans="1:15" x14ac:dyDescent="0.3">
      <c r="A1" s="1"/>
      <c r="B1" s="6" t="s">
        <v>0</v>
      </c>
      <c r="C1" s="6"/>
      <c r="D1" s="6" t="s">
        <v>7</v>
      </c>
      <c r="E1" s="6"/>
      <c r="F1" s="6" t="s">
        <v>10</v>
      </c>
      <c r="G1" s="6"/>
      <c r="H1" s="6" t="s">
        <v>19</v>
      </c>
      <c r="I1" s="6"/>
      <c r="J1" s="6" t="s">
        <v>20</v>
      </c>
      <c r="K1" s="6"/>
      <c r="L1" s="6" t="s">
        <v>21</v>
      </c>
      <c r="M1" s="6"/>
      <c r="N1" s="6" t="s">
        <v>22</v>
      </c>
      <c r="O1" s="6"/>
    </row>
    <row r="2" spans="1:15" x14ac:dyDescent="0.3">
      <c r="A2" s="1"/>
      <c r="B2" s="5" t="s">
        <v>8</v>
      </c>
      <c r="C2" s="5" t="s">
        <v>9</v>
      </c>
      <c r="D2" s="5" t="s">
        <v>8</v>
      </c>
      <c r="E2" s="5" t="s">
        <v>9</v>
      </c>
      <c r="F2" s="5" t="s">
        <v>8</v>
      </c>
      <c r="G2" s="5" t="s">
        <v>9</v>
      </c>
      <c r="H2" s="5" t="s">
        <v>8</v>
      </c>
      <c r="I2" s="5" t="s">
        <v>9</v>
      </c>
      <c r="J2" s="5" t="s">
        <v>8</v>
      </c>
      <c r="K2" s="5" t="s">
        <v>9</v>
      </c>
      <c r="L2" s="5" t="s">
        <v>8</v>
      </c>
      <c r="M2" s="5" t="s">
        <v>9</v>
      </c>
      <c r="N2" s="5" t="s">
        <v>8</v>
      </c>
      <c r="O2" s="5" t="s">
        <v>9</v>
      </c>
    </row>
    <row r="3" spans="1:15" x14ac:dyDescent="0.3">
      <c r="A3" s="1" t="s">
        <v>1</v>
      </c>
      <c r="B3" s="1">
        <v>2.1</v>
      </c>
      <c r="C3" s="2"/>
      <c r="D3" s="1">
        <v>4</v>
      </c>
      <c r="E3" s="2"/>
      <c r="F3" s="1">
        <v>4</v>
      </c>
      <c r="G3" s="2"/>
      <c r="H3" s="1">
        <v>4.5</v>
      </c>
      <c r="I3" s="2"/>
      <c r="J3" s="1">
        <v>5.3</v>
      </c>
      <c r="K3" s="2"/>
      <c r="L3" s="1">
        <v>5.4</v>
      </c>
      <c r="M3" s="2"/>
      <c r="N3" s="1">
        <v>6.4</v>
      </c>
      <c r="O3" s="2"/>
    </row>
    <row r="4" spans="1:15" x14ac:dyDescent="0.3">
      <c r="A4" s="1" t="s">
        <v>2</v>
      </c>
      <c r="B4" s="1">
        <v>1.1100000000000001</v>
      </c>
      <c r="C4" s="3">
        <f>B4/$B$3*100</f>
        <v>52.857142857142861</v>
      </c>
      <c r="D4" s="4">
        <f>$D$3*E4/100</f>
        <v>2.16</v>
      </c>
      <c r="E4" s="1">
        <v>54</v>
      </c>
      <c r="F4" s="4">
        <f>$F$3*G4/100</f>
        <v>2.48</v>
      </c>
      <c r="G4" s="1">
        <v>62</v>
      </c>
      <c r="H4" s="4">
        <f>$H$3*I4/100</f>
        <v>2.5649999999999999</v>
      </c>
      <c r="I4" s="1">
        <v>57</v>
      </c>
      <c r="J4" s="4">
        <f>$J$3*K4/100</f>
        <v>2.968</v>
      </c>
      <c r="K4" s="1">
        <v>56</v>
      </c>
      <c r="L4" s="4">
        <f>$L$3*M4/100</f>
        <v>3.0240000000000005</v>
      </c>
      <c r="M4" s="1">
        <v>56</v>
      </c>
      <c r="N4" s="4">
        <f>$N$3*O4/100</f>
        <v>3.6480000000000001</v>
      </c>
      <c r="O4" s="1">
        <v>57</v>
      </c>
    </row>
    <row r="5" spans="1:15" x14ac:dyDescent="0.3">
      <c r="A5" s="1" t="s">
        <v>3</v>
      </c>
      <c r="B5" s="1">
        <v>0.06</v>
      </c>
      <c r="C5" s="3">
        <f>B5/$B$3*100</f>
        <v>2.8571428571428572</v>
      </c>
      <c r="D5" s="4">
        <f t="shared" ref="D5:D8" si="0">$D$3*E5/100</f>
        <v>0.16</v>
      </c>
      <c r="E5" s="1">
        <v>4</v>
      </c>
      <c r="F5" s="4">
        <f>$F$3*G5/100</f>
        <v>0.18</v>
      </c>
      <c r="G5" s="1">
        <v>4.5</v>
      </c>
      <c r="H5" s="4">
        <f>$H$3*I5/100</f>
        <v>0.18</v>
      </c>
      <c r="I5" s="1">
        <v>4</v>
      </c>
      <c r="J5" s="4">
        <f>$J$3*K5/100</f>
        <v>0.26500000000000001</v>
      </c>
      <c r="K5" s="1">
        <v>5</v>
      </c>
      <c r="L5" s="4">
        <f>$L$3*M5/100</f>
        <v>0.18900000000000003</v>
      </c>
      <c r="M5" s="1">
        <v>3.5</v>
      </c>
      <c r="N5" s="4">
        <f>$N$3*O5/100</f>
        <v>0.32</v>
      </c>
      <c r="O5" s="1">
        <v>5</v>
      </c>
    </row>
    <row r="6" spans="1:15" x14ac:dyDescent="0.3">
      <c r="A6" s="1" t="s">
        <v>4</v>
      </c>
      <c r="B6" s="1">
        <v>0.9</v>
      </c>
      <c r="C6" s="3">
        <f>B6/$B$3*100</f>
        <v>42.857142857142854</v>
      </c>
      <c r="D6" s="4">
        <f t="shared" si="0"/>
        <v>1.68</v>
      </c>
      <c r="E6" s="1">
        <v>42</v>
      </c>
      <c r="F6" s="4">
        <f>$F$3*G6/100</f>
        <v>1.82</v>
      </c>
      <c r="G6" s="1">
        <v>45.5</v>
      </c>
      <c r="H6" s="4">
        <f>$H$3*I6/100</f>
        <v>2.0024999999999999</v>
      </c>
      <c r="I6" s="1">
        <v>44.5</v>
      </c>
      <c r="J6" s="4">
        <f>$J$3*K6/100</f>
        <v>2.2789999999999999</v>
      </c>
      <c r="K6" s="1">
        <v>43</v>
      </c>
      <c r="L6" s="4">
        <f>$L$3*M6/100</f>
        <v>2.3220000000000001</v>
      </c>
      <c r="M6" s="1">
        <v>43</v>
      </c>
      <c r="N6" s="4">
        <f>$N$3*O6/100</f>
        <v>2.7519999999999998</v>
      </c>
      <c r="O6" s="1">
        <v>43</v>
      </c>
    </row>
    <row r="7" spans="1:15" x14ac:dyDescent="0.3">
      <c r="A7" s="1" t="s">
        <v>5</v>
      </c>
      <c r="B7" s="1">
        <v>0.33900000000000002</v>
      </c>
      <c r="C7" s="3">
        <f>B7/$B$3*100</f>
        <v>16.142857142857142</v>
      </c>
      <c r="D7" s="4">
        <f t="shared" si="0"/>
        <v>0.56000000000000005</v>
      </c>
      <c r="E7" s="1">
        <v>14</v>
      </c>
      <c r="F7" s="4">
        <f>$F$3*G7/100</f>
        <v>0.56000000000000005</v>
      </c>
      <c r="G7" s="1">
        <v>14</v>
      </c>
      <c r="H7" s="4">
        <f>$H$3*I7/100</f>
        <v>0.65249999999999997</v>
      </c>
      <c r="I7" s="1">
        <v>14.5</v>
      </c>
      <c r="J7" s="4">
        <f>$J$3*K7/100</f>
        <v>0.8214999999999999</v>
      </c>
      <c r="K7" s="1">
        <v>15.5</v>
      </c>
      <c r="L7" s="4">
        <f>$L$3*M7/100</f>
        <v>0.89100000000000013</v>
      </c>
      <c r="M7" s="1">
        <v>16.5</v>
      </c>
      <c r="N7" s="4">
        <f>$N$3*O7/100</f>
        <v>1.024</v>
      </c>
      <c r="O7" s="1">
        <v>16</v>
      </c>
    </row>
    <row r="8" spans="1:15" x14ac:dyDescent="0.3">
      <c r="A8" s="1" t="s">
        <v>6</v>
      </c>
      <c r="B8" s="1">
        <v>1.3</v>
      </c>
      <c r="C8" s="3">
        <f>B8/$B$3*100</f>
        <v>61.904761904761905</v>
      </c>
      <c r="D8" s="4">
        <f t="shared" si="0"/>
        <v>2.4</v>
      </c>
      <c r="E8" s="1">
        <v>60</v>
      </c>
      <c r="F8" s="4">
        <f>$F$3*G8/100</f>
        <v>2.58</v>
      </c>
      <c r="G8" s="1">
        <v>64.5</v>
      </c>
      <c r="H8" s="4">
        <f>$H$3*I8/100</f>
        <v>2.8215000000000003</v>
      </c>
      <c r="I8" s="1">
        <v>62.7</v>
      </c>
      <c r="J8" s="4">
        <f>$J$3*K8/100</f>
        <v>3.3443000000000001</v>
      </c>
      <c r="K8" s="1">
        <v>63.1</v>
      </c>
      <c r="L8" s="4">
        <f>$L$3*M8/100</f>
        <v>3.3912</v>
      </c>
      <c r="M8" s="1">
        <v>62.8</v>
      </c>
      <c r="N8" s="4">
        <f>$N$3*O8/100</f>
        <v>4.1088000000000005</v>
      </c>
      <c r="O8" s="1">
        <v>64.2</v>
      </c>
    </row>
    <row r="9" spans="1:15" x14ac:dyDescent="0.3">
      <c r="A9" s="9" t="s">
        <v>15</v>
      </c>
      <c r="D9">
        <v>30.9</v>
      </c>
      <c r="F9">
        <v>35.9</v>
      </c>
      <c r="H9">
        <v>34</v>
      </c>
      <c r="I9" s="9"/>
      <c r="J9">
        <v>35</v>
      </c>
      <c r="K9" s="9"/>
      <c r="L9">
        <v>36.5</v>
      </c>
      <c r="M9" s="9"/>
      <c r="N9">
        <v>37</v>
      </c>
      <c r="O9" s="9"/>
    </row>
    <row r="10" spans="1:15" x14ac:dyDescent="0.3">
      <c r="A10" s="9" t="s">
        <v>16</v>
      </c>
      <c r="D10">
        <v>40</v>
      </c>
      <c r="F10">
        <v>42.4</v>
      </c>
      <c r="H10">
        <v>41.6</v>
      </c>
      <c r="I10" s="9"/>
      <c r="J10">
        <v>40.6</v>
      </c>
      <c r="K10" s="9"/>
      <c r="L10">
        <v>40.799999999999997</v>
      </c>
      <c r="M10" s="9"/>
      <c r="N10">
        <v>40.799999999999997</v>
      </c>
      <c r="O10" s="9"/>
    </row>
    <row r="11" spans="1:15" x14ac:dyDescent="0.3">
      <c r="A11" s="9" t="s">
        <v>17</v>
      </c>
      <c r="D11" s="12" t="s">
        <v>12</v>
      </c>
      <c r="F11" s="12" t="s">
        <v>12</v>
      </c>
      <c r="H11" s="12" t="s">
        <v>12</v>
      </c>
      <c r="J11" s="12" t="s">
        <v>12</v>
      </c>
      <c r="L11" s="12" t="s">
        <v>12</v>
      </c>
      <c r="N11" s="12" t="s">
        <v>12</v>
      </c>
    </row>
    <row r="12" spans="1:15" x14ac:dyDescent="0.3">
      <c r="A12" s="9" t="s">
        <v>18</v>
      </c>
      <c r="D12" s="12" t="s">
        <v>14</v>
      </c>
      <c r="F12" s="12" t="s">
        <v>14</v>
      </c>
      <c r="H12" s="12" t="s">
        <v>14</v>
      </c>
      <c r="J12" s="12" t="s">
        <v>14</v>
      </c>
      <c r="L12" s="12" t="s">
        <v>14</v>
      </c>
      <c r="N12" s="12" t="s">
        <v>14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8877B-1B04-497B-9A2A-1B776049E7C3}">
  <dimension ref="A1:C11"/>
  <sheetViews>
    <sheetView workbookViewId="0">
      <selection activeCell="G8" sqref="G8"/>
    </sheetView>
  </sheetViews>
  <sheetFormatPr defaultRowHeight="14.4" x14ac:dyDescent="0.3"/>
  <cols>
    <col min="1" max="1" width="14.109375" bestFit="1" customWidth="1"/>
    <col min="2" max="2" width="15.109375" bestFit="1" customWidth="1"/>
    <col min="3" max="3" width="12.33203125" bestFit="1" customWidth="1"/>
  </cols>
  <sheetData>
    <row r="1" spans="1:3" x14ac:dyDescent="0.3">
      <c r="A1" s="1"/>
      <c r="B1" s="7" t="s">
        <v>0</v>
      </c>
      <c r="C1" s="8"/>
    </row>
    <row r="2" spans="1:3" x14ac:dyDescent="0.3">
      <c r="A2" s="1"/>
      <c r="B2" s="5" t="s">
        <v>8</v>
      </c>
      <c r="C2" s="5" t="s">
        <v>9</v>
      </c>
    </row>
    <row r="3" spans="1:3" x14ac:dyDescent="0.3">
      <c r="A3" s="1" t="s">
        <v>1</v>
      </c>
      <c r="B3" s="1">
        <v>10</v>
      </c>
      <c r="C3" s="2"/>
    </row>
    <row r="4" spans="1:3" x14ac:dyDescent="0.3">
      <c r="A4" s="1" t="s">
        <v>2</v>
      </c>
      <c r="B4" s="1">
        <v>5.41</v>
      </c>
      <c r="C4" s="3">
        <f>B4/$B$3*100</f>
        <v>54.1</v>
      </c>
    </row>
    <row r="5" spans="1:3" x14ac:dyDescent="0.3">
      <c r="A5" s="1" t="s">
        <v>3</v>
      </c>
      <c r="B5" s="1">
        <v>0.3</v>
      </c>
      <c r="C5" s="3">
        <f>B5/$B$3*100</f>
        <v>3</v>
      </c>
    </row>
    <row r="6" spans="1:3" x14ac:dyDescent="0.3">
      <c r="A6" s="1" t="s">
        <v>4</v>
      </c>
      <c r="B6" s="1">
        <v>4.4400000000000004</v>
      </c>
      <c r="C6" s="3">
        <f>B6/$B$3*100</f>
        <v>44.400000000000006</v>
      </c>
    </row>
    <row r="7" spans="1:3" x14ac:dyDescent="0.3">
      <c r="A7" s="1" t="s">
        <v>5</v>
      </c>
      <c r="B7" s="1">
        <v>1.7</v>
      </c>
      <c r="C7" s="3">
        <f>B7/$B$3*100</f>
        <v>17</v>
      </c>
    </row>
    <row r="8" spans="1:3" x14ac:dyDescent="0.3">
      <c r="A8" s="1" t="s">
        <v>6</v>
      </c>
      <c r="B8" s="1">
        <v>6.13</v>
      </c>
      <c r="C8" s="3">
        <f>B8/$B$3*100</f>
        <v>61.3</v>
      </c>
    </row>
    <row r="9" spans="1:3" x14ac:dyDescent="0.3">
      <c r="A9" s="9" t="s">
        <v>11</v>
      </c>
      <c r="B9" s="11" t="s">
        <v>12</v>
      </c>
      <c r="C9" s="10"/>
    </row>
    <row r="10" spans="1:3" x14ac:dyDescent="0.3">
      <c r="A10" t="s">
        <v>13</v>
      </c>
      <c r="B10" s="12" t="s">
        <v>14</v>
      </c>
      <c r="C10">
        <f>0.8*$B3/2</f>
        <v>4</v>
      </c>
    </row>
    <row r="11" spans="1:3" x14ac:dyDescent="0.3">
      <c r="C11">
        <f>0.2*$B3/2</f>
        <v>1</v>
      </c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Kumar Ranganathan</dc:creator>
  <cp:lastModifiedBy>Suresh Kumar Ranganathan</cp:lastModifiedBy>
  <dcterms:created xsi:type="dcterms:W3CDTF">2025-09-28T14:01:42Z</dcterms:created>
  <dcterms:modified xsi:type="dcterms:W3CDTF">2025-12-31T19:23:27Z</dcterms:modified>
</cp:coreProperties>
</file>